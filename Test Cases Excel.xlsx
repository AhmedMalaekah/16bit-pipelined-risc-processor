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fupmedusa-my.sharepoint.com/personal/s202247540_kfupm_edu_sa/Documents/Documents/University/COE301/Coe301 Project/COE301Project/"/>
    </mc:Choice>
  </mc:AlternateContent>
  <xr:revisionPtr revIDLastSave="11" documentId="13_ncr:1_{2B47DBD1-E640-4DE0-BBF3-EFE828D5BF31}" xr6:coauthVersionLast="47" xr6:coauthVersionMax="47" xr10:uidLastSave="{A18BD0B0-F2FD-40A7-8C3C-1941E4B8F259}"/>
  <bookViews>
    <workbookView xWindow="11424" yWindow="0" windowWidth="11712" windowHeight="12336" xr2:uid="{181E0E97-A2EB-4A5B-9DFE-7D96173B24B2}"/>
  </bookViews>
  <sheets>
    <sheet name="Program" sheetId="1" r:id="rId1"/>
    <sheet name="Coding" sheetId="2" r:id="rId2"/>
  </sheets>
  <definedNames>
    <definedName name="OpCode">Coding!$A$1:$C$28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1" l="1"/>
  <c r="M31" i="1" s="1"/>
  <c r="K31" i="1"/>
  <c r="K33" i="1"/>
  <c r="E29" i="1"/>
  <c r="E30" i="1"/>
  <c r="E31" i="1"/>
  <c r="E32" i="1"/>
  <c r="F32" i="1" s="1"/>
  <c r="K32" i="1" s="1"/>
  <c r="L32" i="1" s="1"/>
  <c r="M32" i="1" s="1"/>
  <c r="E33" i="1"/>
  <c r="D29" i="1"/>
  <c r="D30" i="1"/>
  <c r="D31" i="1"/>
  <c r="D32" i="1"/>
  <c r="E6" i="1"/>
  <c r="F6" i="1" s="1"/>
  <c r="K6" i="1" s="1"/>
  <c r="L6" i="1" s="1"/>
  <c r="M6" i="1" s="1"/>
  <c r="E7" i="1"/>
  <c r="F7" i="1" s="1"/>
  <c r="K7" i="1" s="1"/>
  <c r="L7" i="1" s="1"/>
  <c r="M7" i="1" s="1"/>
  <c r="E8" i="1"/>
  <c r="F8" i="1" s="1"/>
  <c r="K8" i="1" s="1"/>
  <c r="L8" i="1" s="1"/>
  <c r="M8" i="1" s="1"/>
  <c r="E9" i="1"/>
  <c r="F9" i="1" s="1"/>
  <c r="K9" i="1" s="1"/>
  <c r="L9" i="1" s="1"/>
  <c r="M9" i="1" s="1"/>
  <c r="E10" i="1"/>
  <c r="F10" i="1" s="1"/>
  <c r="K10" i="1" s="1"/>
  <c r="L10" i="1" s="1"/>
  <c r="M10" i="1" s="1"/>
  <c r="E11" i="1"/>
  <c r="F11" i="1" s="1"/>
  <c r="K11" i="1" s="1"/>
  <c r="L11" i="1" s="1"/>
  <c r="M11" i="1" s="1"/>
  <c r="E12" i="1"/>
  <c r="F12" i="1" s="1"/>
  <c r="K12" i="1" s="1"/>
  <c r="L12" i="1" s="1"/>
  <c r="M12" i="1" s="1"/>
  <c r="E13" i="1"/>
  <c r="F13" i="1" s="1"/>
  <c r="K13" i="1" s="1"/>
  <c r="L13" i="1" s="1"/>
  <c r="M13" i="1" s="1"/>
  <c r="E14" i="1"/>
  <c r="F14" i="1" s="1"/>
  <c r="K14" i="1" s="1"/>
  <c r="L14" i="1" s="1"/>
  <c r="M14" i="1" s="1"/>
  <c r="E15" i="1"/>
  <c r="F15" i="1" s="1"/>
  <c r="K15" i="1" s="1"/>
  <c r="L15" i="1" s="1"/>
  <c r="M15" i="1" s="1"/>
  <c r="E16" i="1"/>
  <c r="F16" i="1" s="1"/>
  <c r="K16" i="1" s="1"/>
  <c r="L16" i="1" s="1"/>
  <c r="M16" i="1" s="1"/>
  <c r="E17" i="1"/>
  <c r="F17" i="1" s="1"/>
  <c r="K17" i="1" s="1"/>
  <c r="L17" i="1" s="1"/>
  <c r="M17" i="1" s="1"/>
  <c r="E18" i="1"/>
  <c r="F18" i="1" s="1"/>
  <c r="K18" i="1" s="1"/>
  <c r="L18" i="1" s="1"/>
  <c r="M18" i="1" s="1"/>
  <c r="E19" i="1"/>
  <c r="F19" i="1" s="1"/>
  <c r="K19" i="1" s="1"/>
  <c r="L19" i="1" s="1"/>
  <c r="M19" i="1" s="1"/>
  <c r="E20" i="1"/>
  <c r="F20" i="1" s="1"/>
  <c r="K20" i="1" s="1"/>
  <c r="L20" i="1" s="1"/>
  <c r="M20" i="1" s="1"/>
  <c r="E21" i="1"/>
  <c r="F21" i="1" s="1"/>
  <c r="K21" i="1" s="1"/>
  <c r="L21" i="1" s="1"/>
  <c r="M21" i="1" s="1"/>
  <c r="E22" i="1"/>
  <c r="F22" i="1" s="1"/>
  <c r="K22" i="1" s="1"/>
  <c r="L22" i="1" s="1"/>
  <c r="M22" i="1" s="1"/>
  <c r="E23" i="1"/>
  <c r="F23" i="1" s="1"/>
  <c r="K23" i="1" s="1"/>
  <c r="L23" i="1" s="1"/>
  <c r="M23" i="1" s="1"/>
  <c r="E24" i="1"/>
  <c r="F24" i="1" s="1"/>
  <c r="K24" i="1" s="1"/>
  <c r="L24" i="1" s="1"/>
  <c r="M24" i="1" s="1"/>
  <c r="E25" i="1"/>
  <c r="F25" i="1" s="1"/>
  <c r="K25" i="1" s="1"/>
  <c r="L25" i="1" s="1"/>
  <c r="M25" i="1" s="1"/>
  <c r="E26" i="1"/>
  <c r="F26" i="1" s="1"/>
  <c r="K26" i="1" s="1"/>
  <c r="L26" i="1" s="1"/>
  <c r="M26" i="1" s="1"/>
  <c r="E27" i="1"/>
  <c r="F27" i="1" s="1"/>
  <c r="K27" i="1" s="1"/>
  <c r="L27" i="1" s="1"/>
  <c r="M27" i="1" s="1"/>
  <c r="E28" i="1"/>
  <c r="F28" i="1" s="1"/>
  <c r="K28" i="1" s="1"/>
  <c r="L28" i="1" s="1"/>
  <c r="M28" i="1" s="1"/>
  <c r="E5" i="1"/>
  <c r="F5" i="1" s="1"/>
  <c r="K5" i="1" s="1"/>
  <c r="L5" i="1" s="1"/>
  <c r="M5" i="1" s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5" i="1"/>
  <c r="F30" i="1" l="1"/>
  <c r="K30" i="1" s="1"/>
  <c r="L30" i="1" s="1"/>
  <c r="M30" i="1" s="1"/>
  <c r="F29" i="1"/>
  <c r="K29" i="1" s="1"/>
  <c r="L29" i="1" s="1"/>
  <c r="M29" i="1" s="1"/>
  <c r="N6" i="1"/>
  <c r="P5" i="1"/>
  <c r="Q5" i="1" s="1"/>
</calcChain>
</file>

<file path=xl/sharedStrings.xml><?xml version="1.0" encoding="utf-8"?>
<sst xmlns="http://schemas.openxmlformats.org/spreadsheetml/2006/main" count="133" uniqueCount="106">
  <si>
    <t xml:space="preserve">addi  $1, $0, 5        </t>
  </si>
  <si>
    <t xml:space="preserve">or      $2, $1, $0     </t>
  </si>
  <si>
    <t>ori     $3, $0, 7</t>
  </si>
  <si>
    <t>xor    $4, $3, $2</t>
  </si>
  <si>
    <t>and   $5, $3, $4</t>
  </si>
  <si>
    <t>nor    $6, $0, $4</t>
  </si>
  <si>
    <t>andi  $7, $3, 5</t>
  </si>
  <si>
    <t>add   $1, $1, $2</t>
  </si>
  <si>
    <t>sub   $2, $1, $3</t>
  </si>
  <si>
    <t>slt       $3, $6, $2</t>
  </si>
  <si>
    <t>sltu     $4, $6, $2</t>
  </si>
  <si>
    <t>xori     $5, $2, 5</t>
  </si>
  <si>
    <t>Op (5)</t>
  </si>
  <si>
    <t>01</t>
  </si>
  <si>
    <t>01000</t>
  </si>
  <si>
    <t>11111</t>
  </si>
  <si>
    <t>Imm</t>
  </si>
  <si>
    <t>Rs</t>
  </si>
  <si>
    <t>Rt</t>
  </si>
  <si>
    <t>000</t>
  </si>
  <si>
    <t>001</t>
  </si>
  <si>
    <t>00101</t>
  </si>
  <si>
    <t>00001</t>
  </si>
  <si>
    <t>010</t>
  </si>
  <si>
    <t>01010</t>
  </si>
  <si>
    <t>00111</t>
  </si>
  <si>
    <t>011</t>
  </si>
  <si>
    <t>LUI</t>
  </si>
  <si>
    <t>Instr.</t>
  </si>
  <si>
    <t>Meaning</t>
  </si>
  <si>
    <t>Encoding</t>
  </si>
  <si>
    <t>ADD</t>
  </si>
  <si>
    <t>Reg(Rd) = Reg(Rs) + Reg(Rt)</t>
  </si>
  <si>
    <t>SUB</t>
  </si>
  <si>
    <t>Reg(Rd) = Reg(Rs) – Reg(Rt)</t>
  </si>
  <si>
    <t>SLT</t>
  </si>
  <si>
    <t>Reg(Rd) = Reg(Rs) signed &lt; Reg(Rt)</t>
  </si>
  <si>
    <t>SLTU</t>
  </si>
  <si>
    <t>Reg(Rd) = Reg(Rs) unsigned &lt; Reg(Rt)</t>
  </si>
  <si>
    <t>AND</t>
  </si>
  <si>
    <t>Reg(Rd) = Reg(Rs) &amp; Reg(Rt)</t>
  </si>
  <si>
    <t>OR</t>
  </si>
  <si>
    <t>Reg(Rd) = Reg(Rs) | Reg(Rt)</t>
  </si>
  <si>
    <t>XOR</t>
  </si>
  <si>
    <t>Reg(Rd) = Reg(Rs) ^ Reg(Rt)</t>
  </si>
  <si>
    <t>NOR</t>
  </si>
  <si>
    <t>Reg(Rd) = ~(Reg(Rs) | Reg(Rt))</t>
  </si>
  <si>
    <t>SLL</t>
  </si>
  <si>
    <t>Reg(Rd) = Reg(Rs) &lt;&lt; Reg(Rt)</t>
  </si>
  <si>
    <t>SRL</t>
  </si>
  <si>
    <t>Reg(Rd) = Reg(Rs) zero&gt;&gt; Reg(Rt)</t>
  </si>
  <si>
    <t>SRA</t>
  </si>
  <si>
    <t>Reg(Rd) = Reg(Rs) sign&gt;&gt; Reg(Rt)</t>
  </si>
  <si>
    <t>ROR</t>
  </si>
  <si>
    <t>Reg(Rd) = Reg(Rs) rot&gt;&gt; Reg(Rt)</t>
  </si>
  <si>
    <t>REVL</t>
  </si>
  <si>
    <r>
      <t>Reg(</t>
    </r>
    <r>
      <rPr>
        <sz val="11"/>
        <color rgb="FF000000"/>
        <rFont val="Times New Roman"/>
        <family val="1"/>
      </rPr>
      <t>Rd[b7, …, b0]</t>
    </r>
    <r>
      <rPr>
        <sz val="12"/>
        <color rgb="FF000000"/>
        <rFont val="Times New Roman"/>
        <family val="1"/>
      </rPr>
      <t>) = Reg(</t>
    </r>
    <r>
      <rPr>
        <sz val="11"/>
        <color rgb="FF000000"/>
        <rFont val="Times New Roman"/>
        <family val="1"/>
      </rPr>
      <t>Rs[b0, …, b7]</t>
    </r>
    <r>
      <rPr>
        <sz val="12"/>
        <color rgb="FF000000"/>
        <rFont val="Times New Roman"/>
        <family val="1"/>
      </rPr>
      <t>)</t>
    </r>
  </si>
  <si>
    <t>REVH</t>
  </si>
  <si>
    <r>
      <t>Reg(</t>
    </r>
    <r>
      <rPr>
        <sz val="11"/>
        <color rgb="FF000000"/>
        <rFont val="Times New Roman"/>
        <family val="1"/>
      </rPr>
      <t>Rd[b7, …, b0]</t>
    </r>
    <r>
      <rPr>
        <sz val="12"/>
        <color rgb="FF000000"/>
        <rFont val="Times New Roman"/>
        <family val="1"/>
      </rPr>
      <t>) = Reg(</t>
    </r>
    <r>
      <rPr>
        <sz val="11"/>
        <color rgb="FF000000"/>
        <rFont val="Times New Roman"/>
        <family val="1"/>
      </rPr>
      <t>Rs[8, …, b15]</t>
    </r>
    <r>
      <rPr>
        <sz val="12"/>
        <color rgb="FF000000"/>
        <rFont val="Times New Roman"/>
        <family val="1"/>
      </rPr>
      <t>)</t>
    </r>
  </si>
  <si>
    <t>REVA</t>
  </si>
  <si>
    <r>
      <t>Reg(</t>
    </r>
    <r>
      <rPr>
        <sz val="11"/>
        <color rgb="FF000000"/>
        <rFont val="Times New Roman"/>
        <family val="1"/>
      </rPr>
      <t>Rd[b15, …, b0]</t>
    </r>
    <r>
      <rPr>
        <sz val="12"/>
        <color rgb="FF000000"/>
        <rFont val="Times New Roman"/>
        <family val="1"/>
      </rPr>
      <t>)= Reg(</t>
    </r>
    <r>
      <rPr>
        <sz val="11"/>
        <color rgb="FF000000"/>
        <rFont val="Times New Roman"/>
        <family val="1"/>
      </rPr>
      <t>Rs[b0, …, b15]</t>
    </r>
    <r>
      <rPr>
        <sz val="12"/>
        <color rgb="FF000000"/>
        <rFont val="Times New Roman"/>
        <family val="1"/>
      </rPr>
      <t>)</t>
    </r>
  </si>
  <si>
    <t>JR</t>
  </si>
  <si>
    <t>PC = Reg(Rs)</t>
  </si>
  <si>
    <t>ADDI</t>
  </si>
  <si>
    <r>
      <t>Reg(Rt) = Reg(Rs) + Immediate</t>
    </r>
    <r>
      <rPr>
        <vertAlign val="superscript"/>
        <sz val="12"/>
        <color rgb="FF000000"/>
        <rFont val="Times New Roman"/>
        <family val="1"/>
      </rPr>
      <t>5</t>
    </r>
  </si>
  <si>
    <t>ANDI</t>
  </si>
  <si>
    <r>
      <t>Reg(Rt) = Reg(Rs) &amp; Immediate</t>
    </r>
    <r>
      <rPr>
        <vertAlign val="superscript"/>
        <sz val="12"/>
        <color rgb="FF000000"/>
        <rFont val="Times New Roman"/>
        <family val="1"/>
      </rPr>
      <t>5</t>
    </r>
  </si>
  <si>
    <t>ORI</t>
  </si>
  <si>
    <r>
      <t>Reg(Rt) = Reg(Rs) | Immediate</t>
    </r>
    <r>
      <rPr>
        <vertAlign val="superscript"/>
        <sz val="12"/>
        <color rgb="FF000000"/>
        <rFont val="Times New Roman"/>
        <family val="1"/>
      </rPr>
      <t>5</t>
    </r>
  </si>
  <si>
    <t>XORI</t>
  </si>
  <si>
    <r>
      <t>Reg(Rt) = Reg(Rs) ^ Immediate</t>
    </r>
    <r>
      <rPr>
        <vertAlign val="superscript"/>
        <sz val="12"/>
        <color rgb="FF000000"/>
        <rFont val="Times New Roman"/>
        <family val="1"/>
      </rPr>
      <t>5</t>
    </r>
  </si>
  <si>
    <t>LW</t>
  </si>
  <si>
    <r>
      <t>Reg(Rt) = Mem(Reg(Rs) + Imm</t>
    </r>
    <r>
      <rPr>
        <vertAlign val="superscript"/>
        <sz val="12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)</t>
    </r>
  </si>
  <si>
    <t>SW</t>
  </si>
  <si>
    <r>
      <t>Mem(Reg(Rs) + Imm</t>
    </r>
    <r>
      <rPr>
        <vertAlign val="superscript"/>
        <sz val="12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) = Reg(Rt)</t>
    </r>
  </si>
  <si>
    <t>BEQ</t>
  </si>
  <si>
    <t>Branch if (Reg(Rs) == Reg(Rt))</t>
  </si>
  <si>
    <t>BNE</t>
  </si>
  <si>
    <t>Branch if (Reg(Rs) != Reg(Rt))</t>
  </si>
  <si>
    <t>J</t>
  </si>
  <si>
    <r>
      <t>PC = (Zero-Extend)Immediate</t>
    </r>
    <r>
      <rPr>
        <b/>
        <vertAlign val="superscript"/>
        <sz val="12"/>
        <color rgb="FFFF0000"/>
        <rFont val="Times New Roman"/>
        <family val="1"/>
      </rPr>
      <t>11</t>
    </r>
  </si>
  <si>
    <t>JAL</t>
  </si>
  <si>
    <r>
      <t xml:space="preserve">R7 = PC + 1, </t>
    </r>
    <r>
      <rPr>
        <b/>
        <sz val="10"/>
        <color rgb="FFFF0000"/>
        <rFont val="Times New Roman"/>
        <family val="1"/>
      </rPr>
      <t>PC = (Zero-Extend)Immediate</t>
    </r>
    <r>
      <rPr>
        <b/>
        <vertAlign val="superscript"/>
        <sz val="10"/>
        <color rgb="FFFF0000"/>
        <rFont val="Times New Roman"/>
        <family val="1"/>
      </rPr>
      <t>11</t>
    </r>
  </si>
  <si>
    <r>
      <t>R1 = Immediate</t>
    </r>
    <r>
      <rPr>
        <vertAlign val="superscript"/>
        <sz val="12"/>
        <color rgb="FF000000"/>
        <rFont val="Times New Roman"/>
        <family val="1"/>
      </rPr>
      <t>11</t>
    </r>
    <r>
      <rPr>
        <sz val="12"/>
        <color rgb="FF000000"/>
        <rFont val="Times New Roman"/>
        <family val="1"/>
      </rPr>
      <t xml:space="preserve"> &lt;&lt; 5</t>
    </r>
  </si>
  <si>
    <t>00000</t>
  </si>
  <si>
    <t>00010</t>
  </si>
  <si>
    <t>00011</t>
  </si>
  <si>
    <t>01001</t>
  </si>
  <si>
    <t>01011</t>
  </si>
  <si>
    <t>01100</t>
  </si>
  <si>
    <t>01101</t>
  </si>
  <si>
    <t>01110</t>
  </si>
  <si>
    <t>01111</t>
  </si>
  <si>
    <t>10000</t>
  </si>
  <si>
    <t>10001</t>
  </si>
  <si>
    <t>lui 2</t>
  </si>
  <si>
    <t>0111 1011 1100</t>
  </si>
  <si>
    <t/>
  </si>
  <si>
    <t>lui 0x7BC</t>
  </si>
  <si>
    <t>Op(5)</t>
  </si>
  <si>
    <t xml:space="preserve">Machine </t>
  </si>
  <si>
    <t>Code</t>
  </si>
  <si>
    <t>j 22</t>
  </si>
  <si>
    <t>00000010110</t>
  </si>
  <si>
    <t>10100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</si>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</sst>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vertAlign val="superscript"/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b/>
      <vertAlign val="superscript"/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b/>
      <vertAlign val="superscript"/>
      <sz val="10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9E2F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quotePrefix="1"/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/>
    <xf numFmtId="49" fontId="3" fillId="2" borderId="4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FB9D-9E83-4394-8AB6-85AD4F8436A6}">
  <dimension ref="C3:Q33"/>
  <sheetViews>
    <sheetView tabSelected="1" topLeftCell="E1" zoomScale="80" zoomScaleNormal="115" workbookViewId="0">
      <selection activeCell="I10" sqref="I10"/>
    </sheetView>
  </sheetViews>
  <sheetFormatPr defaultRowHeight="14.4" x14ac:dyDescent="0.3"/>
  <cols>
    <col min="3" max="3" width="35.5546875" style="13" customWidth="1"/>
    <col min="4" max="5" width="21.44140625" style="13" customWidth="1"/>
    <col min="7" max="7" width="16" customWidth="1"/>
    <col min="10" max="10" width="15.109375" customWidth="1"/>
    <col min="11" max="12" width="19.33203125" customWidth="1"/>
    <col min="13" max="13" width="12.5546875" customWidth="1"/>
  </cols>
  <sheetData>
    <row r="3" spans="3:17" x14ac:dyDescent="0.3">
      <c r="M3" s="16" t="s">
        <v>100</v>
      </c>
    </row>
    <row r="4" spans="3:17" x14ac:dyDescent="0.3">
      <c r="E4" s="13" t="s">
        <v>99</v>
      </c>
      <c r="F4" s="3" t="s">
        <v>12</v>
      </c>
      <c r="G4" s="3" t="s">
        <v>16</v>
      </c>
      <c r="H4" s="3" t="s">
        <v>17</v>
      </c>
      <c r="I4" s="3" t="s">
        <v>18</v>
      </c>
      <c r="M4" s="16" t="s">
        <v>101</v>
      </c>
    </row>
    <row r="5" spans="3:17" x14ac:dyDescent="0.3">
      <c r="C5" s="13" t="s">
        <v>0</v>
      </c>
      <c r="D5" s="13" t="str">
        <f>LEFT(C5, FIND(" ",C5 &amp; " ") - 1)</f>
        <v>addi</v>
      </c>
      <c r="E5" t="str">
        <f t="shared" ref="E5:E33" si="0">VLOOKUP(D5,OpCode,3,0)</f>
        <v>01000</v>
      </c>
      <c r="F5" s="2" t="str">
        <f>E5</f>
        <v>01000</v>
      </c>
      <c r="G5" s="2" t="s">
        <v>21</v>
      </c>
      <c r="H5" s="2" t="s">
        <v>19</v>
      </c>
      <c r="I5" s="2" t="s">
        <v>20</v>
      </c>
      <c r="K5" t="str">
        <f>_xlfn.CONCAT(F5:J5)</f>
        <v>0100000101000001</v>
      </c>
      <c r="L5">
        <f>_xlfn.DECIMAL(K5,2)</f>
        <v>16705</v>
      </c>
      <c r="M5" t="str">
        <f>TEXT(DEC2HEX(L5,4),"0000")</f>
        <v>4141</v>
      </c>
      <c r="P5">
        <f>_xlfn.DECIMAL(K5,2)</f>
        <v>16705</v>
      </c>
      <c r="Q5" t="str">
        <f>DEC2HEX(P5)</f>
        <v>4141</v>
      </c>
    </row>
    <row r="6" spans="3:17" x14ac:dyDescent="0.3">
      <c r="C6" s="13" t="s">
        <v>1</v>
      </c>
      <c r="D6" s="13" t="str">
        <f t="shared" ref="D6:D32" si="1">LEFT(C6, FIND(" ",C6 &amp; " ") - 1)</f>
        <v>or</v>
      </c>
      <c r="E6" t="str">
        <f t="shared" si="0"/>
        <v>00001</v>
      </c>
      <c r="F6" s="2" t="str">
        <f t="shared" ref="F6:F30" si="2">E6</f>
        <v>00001</v>
      </c>
      <c r="G6" s="2" t="s">
        <v>13</v>
      </c>
      <c r="H6" s="2" t="s">
        <v>23</v>
      </c>
      <c r="I6" s="2" t="s">
        <v>20</v>
      </c>
      <c r="J6" s="2" t="s">
        <v>19</v>
      </c>
      <c r="K6" t="str">
        <f t="shared" ref="K6:K32" si="3">_xlfn.CONCAT(F6:J6)</f>
        <v>0000101010001000</v>
      </c>
      <c r="L6">
        <f>_xlfn.DECIMAL(K6,2)</f>
        <v>2696</v>
      </c>
      <c r="M6" t="str">
        <f t="shared" ref="M6:M32" si="4">TEXT(DEC2HEX(L6,4),"0000")</f>
        <v>0A88</v>
      </c>
      <c r="N6" t="str">
        <f>DEC2HEX(L6,4)</f>
        <v>0A88</v>
      </c>
    </row>
    <row r="7" spans="3:17" x14ac:dyDescent="0.3">
      <c r="C7" s="13" t="s">
        <v>2</v>
      </c>
      <c r="D7" s="13" t="str">
        <f t="shared" si="1"/>
        <v>ori</v>
      </c>
      <c r="E7" t="str">
        <f t="shared" si="0"/>
        <v>01010</v>
      </c>
      <c r="F7" s="2" t="str">
        <f t="shared" si="2"/>
        <v>01010</v>
      </c>
      <c r="G7" s="2" t="s">
        <v>25</v>
      </c>
      <c r="H7" s="2" t="s">
        <v>19</v>
      </c>
      <c r="I7" s="2" t="s">
        <v>26</v>
      </c>
      <c r="J7" s="2"/>
      <c r="K7" t="str">
        <f t="shared" si="3"/>
        <v>0101000111000011</v>
      </c>
      <c r="L7">
        <f t="shared" ref="L7:L32" si="5">_xlfn.DECIMAL(K7,2)</f>
        <v>20931</v>
      </c>
      <c r="M7" t="str">
        <f t="shared" si="4"/>
        <v>51C3</v>
      </c>
    </row>
    <row r="8" spans="3:17" x14ac:dyDescent="0.3">
      <c r="C8" s="13" t="s">
        <v>3</v>
      </c>
      <c r="D8" s="13" t="str">
        <f t="shared" si="1"/>
        <v>xor</v>
      </c>
      <c r="E8" t="str">
        <f t="shared" si="0"/>
        <v>00001</v>
      </c>
      <c r="F8" s="2" t="str">
        <f t="shared" si="2"/>
        <v>00001</v>
      </c>
      <c r="G8" s="2" t="s">
        <v>104</v>
      </c>
      <c r="H8" s="2" t="s">
        <v>26</v>
      </c>
      <c r="I8" s="2" t="s">
        <v>23</v>
      </c>
      <c r="J8" s="2"/>
      <c r="K8" t="str">
        <f t="shared" si="3"/>
        <v>0000110100011010</v>
      </c>
      <c r="L8">
        <f t="shared" si="5"/>
        <v>3354</v>
      </c>
      <c r="M8" t="str">
        <f t="shared" si="4"/>
        <v>0D1A</v>
      </c>
    </row>
    <row r="9" spans="3:17" x14ac:dyDescent="0.3">
      <c r="C9" s="13" t="s">
        <v>4</v>
      </c>
      <c r="D9" s="13" t="str">
        <f t="shared" si="1"/>
        <v>and</v>
      </c>
      <c r="E9" t="str">
        <f t="shared" si="0"/>
        <v>00001</v>
      </c>
      <c r="F9" s="2" t="str">
        <f t="shared" si="2"/>
        <v>00001</v>
      </c>
      <c r="G9" s="2" t="s">
        <v>21</v>
      </c>
      <c r="H9" s="2" t="s">
        <v>26</v>
      </c>
      <c r="I9" s="2" t="s">
        <v>105</v>
      </c>
      <c r="K9" t="str">
        <f t="shared" si="3"/>
        <v>0000100101011100</v>
      </c>
      <c r="L9">
        <f t="shared" si="5"/>
        <v>2396</v>
      </c>
      <c r="M9" t="str">
        <f t="shared" si="4"/>
        <v>095C</v>
      </c>
    </row>
    <row r="10" spans="3:17" x14ac:dyDescent="0.3">
      <c r="C10" s="13" t="s">
        <v>5</v>
      </c>
      <c r="D10" s="13" t="str">
        <f t="shared" si="1"/>
        <v>nor</v>
      </c>
      <c r="E10" t="str">
        <f t="shared" si="0"/>
        <v>00001</v>
      </c>
      <c r="F10" s="2" t="str">
        <f t="shared" si="2"/>
        <v>00001</v>
      </c>
      <c r="G10" s="3"/>
      <c r="H10" s="3"/>
      <c r="I10" s="3"/>
      <c r="K10" t="str">
        <f t="shared" si="3"/>
        <v>00001</v>
      </c>
      <c r="L10">
        <f t="shared" si="5"/>
        <v>1</v>
      </c>
      <c r="M10" t="str">
        <f t="shared" si="4"/>
        <v>0001</v>
      </c>
    </row>
    <row r="11" spans="3:17" x14ac:dyDescent="0.3">
      <c r="C11" s="13" t="s">
        <v>6</v>
      </c>
      <c r="D11" s="13" t="str">
        <f t="shared" si="1"/>
        <v>andi</v>
      </c>
      <c r="E11" t="str">
        <f t="shared" si="0"/>
        <v>01001</v>
      </c>
      <c r="F11" s="2" t="str">
        <f t="shared" si="2"/>
        <v>01001</v>
      </c>
      <c r="G11" s="3"/>
      <c r="H11" s="3"/>
      <c r="I11" s="3"/>
      <c r="K11" t="str">
        <f t="shared" si="3"/>
        <v>01001</v>
      </c>
      <c r="L11">
        <f t="shared" si="5"/>
        <v>9</v>
      </c>
      <c r="M11" t="str">
        <f t="shared" si="4"/>
        <v>0009</v>
      </c>
    </row>
    <row r="12" spans="3:17" x14ac:dyDescent="0.3">
      <c r="C12" s="13" t="s">
        <v>7</v>
      </c>
      <c r="D12" s="13" t="str">
        <f t="shared" si="1"/>
        <v>add</v>
      </c>
      <c r="E12" t="str">
        <f t="shared" si="0"/>
        <v>00000</v>
      </c>
      <c r="F12" s="2" t="str">
        <f t="shared" si="2"/>
        <v>00000</v>
      </c>
      <c r="G12" s="3"/>
      <c r="H12" s="3"/>
      <c r="I12" s="3"/>
      <c r="K12" t="str">
        <f t="shared" si="3"/>
        <v>00000</v>
      </c>
      <c r="L12">
        <f t="shared" si="5"/>
        <v>0</v>
      </c>
      <c r="M12" t="str">
        <f t="shared" si="4"/>
        <v>0000</v>
      </c>
    </row>
    <row r="13" spans="3:17" x14ac:dyDescent="0.3">
      <c r="C13" s="13" t="s">
        <v>8</v>
      </c>
      <c r="D13" s="13" t="str">
        <f t="shared" si="1"/>
        <v>sub</v>
      </c>
      <c r="E13" t="str">
        <f t="shared" si="0"/>
        <v>00000</v>
      </c>
      <c r="F13" s="2" t="str">
        <f t="shared" si="2"/>
        <v>00000</v>
      </c>
      <c r="G13" s="3"/>
      <c r="H13" s="3"/>
      <c r="I13" s="3"/>
      <c r="K13" t="str">
        <f t="shared" si="3"/>
        <v>00000</v>
      </c>
      <c r="L13">
        <f t="shared" si="5"/>
        <v>0</v>
      </c>
      <c r="M13" t="str">
        <f t="shared" si="4"/>
        <v>0000</v>
      </c>
    </row>
    <row r="14" spans="3:17" x14ac:dyDescent="0.3">
      <c r="C14" s="13" t="s">
        <v>9</v>
      </c>
      <c r="D14" s="13" t="str">
        <f t="shared" si="1"/>
        <v>slt</v>
      </c>
      <c r="E14" t="str">
        <f t="shared" si="0"/>
        <v>00000</v>
      </c>
      <c r="F14" s="2" t="str">
        <f t="shared" si="2"/>
        <v>00000</v>
      </c>
      <c r="G14" s="3"/>
      <c r="H14" s="3"/>
      <c r="I14" s="3"/>
      <c r="K14" t="str">
        <f t="shared" si="3"/>
        <v>00000</v>
      </c>
      <c r="L14">
        <f t="shared" si="5"/>
        <v>0</v>
      </c>
      <c r="M14" t="str">
        <f t="shared" si="4"/>
        <v>0000</v>
      </c>
    </row>
    <row r="15" spans="3:17" x14ac:dyDescent="0.3">
      <c r="C15" s="13" t="s">
        <v>10</v>
      </c>
      <c r="D15" s="13" t="str">
        <f t="shared" si="1"/>
        <v>sltu</v>
      </c>
      <c r="E15" t="str">
        <f t="shared" si="0"/>
        <v>00000</v>
      </c>
      <c r="F15" s="2" t="str">
        <f t="shared" si="2"/>
        <v>00000</v>
      </c>
      <c r="G15" s="3"/>
      <c r="H15" s="3"/>
      <c r="I15" s="3"/>
      <c r="K15" t="str">
        <f t="shared" si="3"/>
        <v>00000</v>
      </c>
      <c r="L15">
        <f t="shared" si="5"/>
        <v>0</v>
      </c>
      <c r="M15" t="str">
        <f t="shared" si="4"/>
        <v>0000</v>
      </c>
    </row>
    <row r="16" spans="3:17" x14ac:dyDescent="0.3">
      <c r="C16" s="13" t="s">
        <v>11</v>
      </c>
      <c r="D16" s="13" t="str">
        <f t="shared" si="1"/>
        <v>xori</v>
      </c>
      <c r="E16" t="str">
        <f t="shared" si="0"/>
        <v>01011</v>
      </c>
      <c r="F16" s="2" t="str">
        <f t="shared" si="2"/>
        <v>01011</v>
      </c>
      <c r="G16" s="3"/>
      <c r="H16" s="3"/>
      <c r="I16" s="3"/>
      <c r="K16" t="str">
        <f t="shared" si="3"/>
        <v>01011</v>
      </c>
      <c r="L16">
        <f t="shared" si="5"/>
        <v>11</v>
      </c>
      <c r="M16" t="str">
        <f t="shared" si="4"/>
        <v>000B</v>
      </c>
    </row>
    <row r="17" spans="3:13" x14ac:dyDescent="0.3">
      <c r="C17" s="13" t="s">
        <v>6</v>
      </c>
      <c r="D17" s="13" t="str">
        <f t="shared" si="1"/>
        <v>andi</v>
      </c>
      <c r="E17" t="str">
        <f t="shared" si="0"/>
        <v>01001</v>
      </c>
      <c r="F17" s="2" t="str">
        <f t="shared" si="2"/>
        <v>01001</v>
      </c>
      <c r="K17" t="str">
        <f t="shared" si="3"/>
        <v>01001</v>
      </c>
      <c r="L17">
        <f t="shared" si="5"/>
        <v>9</v>
      </c>
      <c r="M17" t="str">
        <f t="shared" si="4"/>
        <v>0009</v>
      </c>
    </row>
    <row r="18" spans="3:13" x14ac:dyDescent="0.3">
      <c r="D18" s="13" t="str">
        <f t="shared" si="1"/>
        <v/>
      </c>
      <c r="E18" t="e">
        <f t="shared" si="0"/>
        <v>#N/A</v>
      </c>
      <c r="F18" s="2" t="e">
        <f t="shared" si="2"/>
        <v>#N/A</v>
      </c>
      <c r="K18" t="e">
        <f t="shared" si="3"/>
        <v>#N/A</v>
      </c>
      <c r="L18" t="e">
        <f t="shared" si="5"/>
        <v>#N/A</v>
      </c>
      <c r="M18" t="e">
        <f t="shared" si="4"/>
        <v>#N/A</v>
      </c>
    </row>
    <row r="19" spans="3:13" x14ac:dyDescent="0.3">
      <c r="C19" s="13" t="s">
        <v>6</v>
      </c>
      <c r="D19" s="13" t="str">
        <f t="shared" si="1"/>
        <v>andi</v>
      </c>
      <c r="E19" t="str">
        <f t="shared" si="0"/>
        <v>01001</v>
      </c>
      <c r="F19" s="2" t="str">
        <f t="shared" si="2"/>
        <v>01001</v>
      </c>
      <c r="K19" t="str">
        <f t="shared" si="3"/>
        <v>01001</v>
      </c>
      <c r="L19">
        <f t="shared" si="5"/>
        <v>9</v>
      </c>
      <c r="M19" t="str">
        <f t="shared" si="4"/>
        <v>0009</v>
      </c>
    </row>
    <row r="20" spans="3:13" x14ac:dyDescent="0.3">
      <c r="D20" s="13" t="str">
        <f t="shared" si="1"/>
        <v/>
      </c>
      <c r="E20" t="e">
        <f t="shared" si="0"/>
        <v>#N/A</v>
      </c>
      <c r="F20" s="2" t="e">
        <f t="shared" si="2"/>
        <v>#N/A</v>
      </c>
      <c r="K20" t="e">
        <f t="shared" si="3"/>
        <v>#N/A</v>
      </c>
      <c r="L20" t="e">
        <f t="shared" si="5"/>
        <v>#N/A</v>
      </c>
      <c r="M20" t="e">
        <f t="shared" si="4"/>
        <v>#N/A</v>
      </c>
    </row>
    <row r="21" spans="3:13" x14ac:dyDescent="0.3">
      <c r="D21" s="13" t="str">
        <f t="shared" si="1"/>
        <v/>
      </c>
      <c r="E21" t="e">
        <f t="shared" si="0"/>
        <v>#N/A</v>
      </c>
      <c r="F21" s="2" t="e">
        <f t="shared" si="2"/>
        <v>#N/A</v>
      </c>
      <c r="K21" t="e">
        <f t="shared" si="3"/>
        <v>#N/A</v>
      </c>
      <c r="L21" t="e">
        <f t="shared" si="5"/>
        <v>#N/A</v>
      </c>
      <c r="M21" t="e">
        <f t="shared" si="4"/>
        <v>#N/A</v>
      </c>
    </row>
    <row r="22" spans="3:13" x14ac:dyDescent="0.3">
      <c r="C22" s="13" t="s">
        <v>98</v>
      </c>
      <c r="D22" s="13" t="str">
        <f t="shared" si="1"/>
        <v>lui</v>
      </c>
      <c r="E22" t="str">
        <f t="shared" si="0"/>
        <v>11111</v>
      </c>
      <c r="F22" s="2" t="str">
        <f t="shared" si="2"/>
        <v>11111</v>
      </c>
      <c r="G22" s="1" t="s">
        <v>96</v>
      </c>
      <c r="H22" s="1" t="s">
        <v>97</v>
      </c>
      <c r="K22" t="str">
        <f t="shared" si="3"/>
        <v>111110111 1011 1100</v>
      </c>
      <c r="L22" t="e">
        <f t="shared" si="5"/>
        <v>#NUM!</v>
      </c>
      <c r="M22" t="e">
        <f t="shared" si="4"/>
        <v>#NUM!</v>
      </c>
    </row>
    <row r="23" spans="3:13" x14ac:dyDescent="0.3">
      <c r="D23" s="13" t="str">
        <f t="shared" si="1"/>
        <v/>
      </c>
      <c r="E23" t="e">
        <f t="shared" si="0"/>
        <v>#N/A</v>
      </c>
      <c r="F23" s="2" t="e">
        <f t="shared" si="2"/>
        <v>#N/A</v>
      </c>
      <c r="K23" t="e">
        <f t="shared" si="3"/>
        <v>#N/A</v>
      </c>
      <c r="L23" t="e">
        <f t="shared" si="5"/>
        <v>#N/A</v>
      </c>
      <c r="M23" t="e">
        <f t="shared" si="4"/>
        <v>#N/A</v>
      </c>
    </row>
    <row r="24" spans="3:13" x14ac:dyDescent="0.3">
      <c r="D24" s="13" t="str">
        <f t="shared" si="1"/>
        <v/>
      </c>
      <c r="E24" t="e">
        <f t="shared" si="0"/>
        <v>#N/A</v>
      </c>
      <c r="F24" s="2" t="e">
        <f t="shared" si="2"/>
        <v>#N/A</v>
      </c>
      <c r="K24" t="e">
        <f t="shared" si="3"/>
        <v>#N/A</v>
      </c>
      <c r="L24" t="e">
        <f t="shared" si="5"/>
        <v>#N/A</v>
      </c>
      <c r="M24" t="e">
        <f t="shared" si="4"/>
        <v>#N/A</v>
      </c>
    </row>
    <row r="25" spans="3:13" x14ac:dyDescent="0.3">
      <c r="D25" s="13" t="str">
        <f t="shared" si="1"/>
        <v/>
      </c>
      <c r="E25" t="e">
        <f t="shared" si="0"/>
        <v>#N/A</v>
      </c>
      <c r="F25" s="2" t="e">
        <f t="shared" si="2"/>
        <v>#N/A</v>
      </c>
      <c r="K25" t="e">
        <f t="shared" si="3"/>
        <v>#N/A</v>
      </c>
      <c r="L25" t="e">
        <f t="shared" si="5"/>
        <v>#N/A</v>
      </c>
      <c r="M25" t="e">
        <f t="shared" si="4"/>
        <v>#N/A</v>
      </c>
    </row>
    <row r="26" spans="3:13" x14ac:dyDescent="0.3">
      <c r="D26" s="13" t="str">
        <f t="shared" si="1"/>
        <v/>
      </c>
      <c r="E26" t="e">
        <f t="shared" si="0"/>
        <v>#N/A</v>
      </c>
      <c r="F26" s="2" t="e">
        <f t="shared" si="2"/>
        <v>#N/A</v>
      </c>
      <c r="K26" t="e">
        <f t="shared" si="3"/>
        <v>#N/A</v>
      </c>
      <c r="L26" t="e">
        <f t="shared" si="5"/>
        <v>#N/A</v>
      </c>
      <c r="M26" t="e">
        <f t="shared" si="4"/>
        <v>#N/A</v>
      </c>
    </row>
    <row r="27" spans="3:13" x14ac:dyDescent="0.3">
      <c r="C27" s="13" t="s">
        <v>95</v>
      </c>
      <c r="D27" s="13" t="str">
        <f t="shared" si="1"/>
        <v>lui</v>
      </c>
      <c r="E27" t="str">
        <f t="shared" si="0"/>
        <v>11111</v>
      </c>
      <c r="F27" s="2" t="str">
        <f t="shared" si="2"/>
        <v>11111</v>
      </c>
      <c r="K27" t="str">
        <f t="shared" si="3"/>
        <v>11111</v>
      </c>
      <c r="L27">
        <f t="shared" si="5"/>
        <v>31</v>
      </c>
      <c r="M27" t="str">
        <f t="shared" si="4"/>
        <v>001F</v>
      </c>
    </row>
    <row r="28" spans="3:13" x14ac:dyDescent="0.3">
      <c r="C28" s="13" t="s">
        <v>1</v>
      </c>
      <c r="D28" s="13" t="str">
        <f t="shared" si="1"/>
        <v>or</v>
      </c>
      <c r="E28" t="str">
        <f t="shared" si="0"/>
        <v>00001</v>
      </c>
      <c r="F28" s="2" t="str">
        <f t="shared" si="2"/>
        <v>00001</v>
      </c>
      <c r="K28" t="str">
        <f t="shared" si="3"/>
        <v>00001</v>
      </c>
      <c r="L28">
        <f t="shared" si="5"/>
        <v>1</v>
      </c>
      <c r="M28" t="str">
        <f t="shared" si="4"/>
        <v>0001</v>
      </c>
    </row>
    <row r="29" spans="3:13" x14ac:dyDescent="0.3">
      <c r="D29" s="13" t="str">
        <f t="shared" si="1"/>
        <v/>
      </c>
      <c r="E29" t="e">
        <f t="shared" si="0"/>
        <v>#N/A</v>
      </c>
      <c r="F29" s="2" t="e">
        <f t="shared" si="2"/>
        <v>#N/A</v>
      </c>
      <c r="K29" t="e">
        <f t="shared" si="3"/>
        <v>#N/A</v>
      </c>
      <c r="L29" t="e">
        <f t="shared" si="5"/>
        <v>#N/A</v>
      </c>
      <c r="M29" t="e">
        <f t="shared" si="4"/>
        <v>#N/A</v>
      </c>
    </row>
    <row r="30" spans="3:13" x14ac:dyDescent="0.3">
      <c r="D30" s="13" t="str">
        <f t="shared" si="1"/>
        <v/>
      </c>
      <c r="E30" t="e">
        <f t="shared" si="0"/>
        <v>#N/A</v>
      </c>
      <c r="F30" s="2" t="e">
        <f t="shared" si="2"/>
        <v>#N/A</v>
      </c>
      <c r="K30" t="e">
        <f t="shared" si="3"/>
        <v>#N/A</v>
      </c>
      <c r="L30" t="e">
        <f t="shared" si="5"/>
        <v>#N/A</v>
      </c>
      <c r="M30" t="e">
        <f t="shared" si="4"/>
        <v>#N/A</v>
      </c>
    </row>
    <row r="31" spans="3:13" x14ac:dyDescent="0.3">
      <c r="D31" s="13" t="str">
        <f t="shared" si="1"/>
        <v/>
      </c>
      <c r="E31" t="e">
        <f t="shared" si="0"/>
        <v>#N/A</v>
      </c>
      <c r="K31" t="str">
        <f t="shared" si="3"/>
        <v/>
      </c>
      <c r="L31">
        <f t="shared" si="5"/>
        <v>0</v>
      </c>
      <c r="M31" t="str">
        <f t="shared" si="4"/>
        <v>0000</v>
      </c>
    </row>
    <row r="32" spans="3:13" x14ac:dyDescent="0.3">
      <c r="C32" s="13" t="s">
        <v>102</v>
      </c>
      <c r="D32" s="13" t="str">
        <f t="shared" si="1"/>
        <v>j</v>
      </c>
      <c r="E32" t="str">
        <f t="shared" si="0"/>
        <v>10000</v>
      </c>
      <c r="F32" s="3" t="str">
        <f>E32</f>
        <v>10000</v>
      </c>
      <c r="G32" s="1" t="s">
        <v>103</v>
      </c>
      <c r="H32" s="1" t="s">
        <v>97</v>
      </c>
      <c r="I32" s="1" t="s">
        <v>97</v>
      </c>
      <c r="J32" s="1" t="s">
        <v>97</v>
      </c>
      <c r="K32" t="str">
        <f t="shared" si="3"/>
        <v>1000000000010110</v>
      </c>
      <c r="L32">
        <f t="shared" si="5"/>
        <v>32790</v>
      </c>
      <c r="M32" t="str">
        <f t="shared" si="4"/>
        <v>8016</v>
      </c>
    </row>
    <row r="33" spans="5:11" x14ac:dyDescent="0.3">
      <c r="E33" t="e">
        <f t="shared" si="0"/>
        <v>#N/A</v>
      </c>
      <c r="K33" t="str">
        <f t="shared" ref="K33" si="6">_xlfn.CONCAT(G33:J33)</f>
        <v/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4596E-30DA-4C48-8E10-893538342BA9}">
  <dimension ref="A1:C28"/>
  <sheetViews>
    <sheetView workbookViewId="0">
      <selection activeCell="A7" sqref="A1:C28"/>
    </sheetView>
  </sheetViews>
  <sheetFormatPr defaultColWidth="9.109375" defaultRowHeight="14.4" x14ac:dyDescent="0.3"/>
  <cols>
    <col min="1" max="1" width="32.44140625" style="11" customWidth="1"/>
    <col min="2" max="2" width="50.6640625" style="11" customWidth="1"/>
    <col min="3" max="3" width="14.88671875" style="15" customWidth="1"/>
    <col min="4" max="16384" width="9.109375" style="11"/>
  </cols>
  <sheetData>
    <row r="1" spans="1:3" ht="24" customHeight="1" x14ac:dyDescent="0.3">
      <c r="A1" s="4" t="s">
        <v>28</v>
      </c>
      <c r="B1" s="5" t="s">
        <v>29</v>
      </c>
      <c r="C1" s="14" t="s">
        <v>30</v>
      </c>
    </row>
    <row r="2" spans="1:3" ht="24" customHeight="1" x14ac:dyDescent="0.3">
      <c r="A2" s="6" t="s">
        <v>31</v>
      </c>
      <c r="B2" s="6" t="s">
        <v>32</v>
      </c>
      <c r="C2" s="12" t="s">
        <v>84</v>
      </c>
    </row>
    <row r="3" spans="1:3" ht="24" customHeight="1" x14ac:dyDescent="0.3">
      <c r="A3" s="6" t="s">
        <v>33</v>
      </c>
      <c r="B3" s="6" t="s">
        <v>34</v>
      </c>
      <c r="C3" s="12" t="s">
        <v>84</v>
      </c>
    </row>
    <row r="4" spans="1:3" ht="24" customHeight="1" x14ac:dyDescent="0.3">
      <c r="A4" s="6" t="s">
        <v>35</v>
      </c>
      <c r="B4" s="6" t="s">
        <v>36</v>
      </c>
      <c r="C4" s="12" t="s">
        <v>84</v>
      </c>
    </row>
    <row r="5" spans="1:3" ht="24" customHeight="1" x14ac:dyDescent="0.3">
      <c r="A5" s="6" t="s">
        <v>37</v>
      </c>
      <c r="B5" s="6" t="s">
        <v>38</v>
      </c>
      <c r="C5" s="12" t="s">
        <v>84</v>
      </c>
    </row>
    <row r="6" spans="1:3" ht="24" customHeight="1" x14ac:dyDescent="0.3">
      <c r="A6" s="6" t="s">
        <v>39</v>
      </c>
      <c r="B6" s="6" t="s">
        <v>40</v>
      </c>
      <c r="C6" s="12" t="s">
        <v>22</v>
      </c>
    </row>
    <row r="7" spans="1:3" ht="24" customHeight="1" x14ac:dyDescent="0.3">
      <c r="A7" s="6" t="s">
        <v>41</v>
      </c>
      <c r="B7" s="6" t="s">
        <v>42</v>
      </c>
      <c r="C7" s="12" t="s">
        <v>22</v>
      </c>
    </row>
    <row r="8" spans="1:3" ht="24" customHeight="1" x14ac:dyDescent="0.3">
      <c r="A8" s="6" t="s">
        <v>43</v>
      </c>
      <c r="B8" s="6" t="s">
        <v>44</v>
      </c>
      <c r="C8" s="12" t="s">
        <v>22</v>
      </c>
    </row>
    <row r="9" spans="1:3" ht="24" customHeight="1" x14ac:dyDescent="0.3">
      <c r="A9" s="6" t="s">
        <v>45</v>
      </c>
      <c r="B9" s="6" t="s">
        <v>46</v>
      </c>
      <c r="C9" s="12" t="s">
        <v>22</v>
      </c>
    </row>
    <row r="10" spans="1:3" ht="24" customHeight="1" x14ac:dyDescent="0.3">
      <c r="A10" s="6" t="s">
        <v>47</v>
      </c>
      <c r="B10" s="6" t="s">
        <v>48</v>
      </c>
      <c r="C10" s="12" t="s">
        <v>85</v>
      </c>
    </row>
    <row r="11" spans="1:3" ht="24" customHeight="1" x14ac:dyDescent="0.3">
      <c r="A11" s="6" t="s">
        <v>49</v>
      </c>
      <c r="B11" s="6" t="s">
        <v>50</v>
      </c>
      <c r="C11" s="12" t="s">
        <v>85</v>
      </c>
    </row>
    <row r="12" spans="1:3" ht="24" customHeight="1" x14ac:dyDescent="0.3">
      <c r="A12" s="6" t="s">
        <v>51</v>
      </c>
      <c r="B12" s="6" t="s">
        <v>52</v>
      </c>
      <c r="C12" s="12" t="s">
        <v>85</v>
      </c>
    </row>
    <row r="13" spans="1:3" ht="24" customHeight="1" x14ac:dyDescent="0.3">
      <c r="A13" s="6" t="s">
        <v>53</v>
      </c>
      <c r="B13" s="6" t="s">
        <v>54</v>
      </c>
      <c r="C13" s="12" t="s">
        <v>85</v>
      </c>
    </row>
    <row r="14" spans="1:3" ht="24" customHeight="1" x14ac:dyDescent="0.3">
      <c r="A14" s="7" t="s">
        <v>55</v>
      </c>
      <c r="B14" s="7" t="s">
        <v>56</v>
      </c>
      <c r="C14" s="12" t="s">
        <v>86</v>
      </c>
    </row>
    <row r="15" spans="1:3" ht="24" customHeight="1" x14ac:dyDescent="0.3">
      <c r="A15" s="7" t="s">
        <v>57</v>
      </c>
      <c r="B15" s="7" t="s">
        <v>58</v>
      </c>
      <c r="C15" s="12" t="s">
        <v>86</v>
      </c>
    </row>
    <row r="16" spans="1:3" ht="24" customHeight="1" x14ac:dyDescent="0.3">
      <c r="A16" s="7" t="s">
        <v>59</v>
      </c>
      <c r="B16" s="7" t="s">
        <v>60</v>
      </c>
      <c r="C16" s="12" t="s">
        <v>86</v>
      </c>
    </row>
    <row r="17" spans="1:3" ht="24" customHeight="1" x14ac:dyDescent="0.3">
      <c r="A17" s="6" t="s">
        <v>61</v>
      </c>
      <c r="B17" s="6" t="s">
        <v>62</v>
      </c>
      <c r="C17" s="12" t="s">
        <v>86</v>
      </c>
    </row>
    <row r="18" spans="1:3" ht="24" customHeight="1" x14ac:dyDescent="0.3">
      <c r="A18" s="8" t="s">
        <v>63</v>
      </c>
      <c r="B18" s="8" t="s">
        <v>64</v>
      </c>
      <c r="C18" s="12" t="s">
        <v>14</v>
      </c>
    </row>
    <row r="19" spans="1:3" ht="24" customHeight="1" x14ac:dyDescent="0.3">
      <c r="A19" s="8" t="s">
        <v>65</v>
      </c>
      <c r="B19" s="8" t="s">
        <v>66</v>
      </c>
      <c r="C19" s="12" t="s">
        <v>87</v>
      </c>
    </row>
    <row r="20" spans="1:3" ht="24" customHeight="1" x14ac:dyDescent="0.3">
      <c r="A20" s="8" t="s">
        <v>67</v>
      </c>
      <c r="B20" s="8" t="s">
        <v>68</v>
      </c>
      <c r="C20" s="12" t="s">
        <v>24</v>
      </c>
    </row>
    <row r="21" spans="1:3" ht="24" customHeight="1" x14ac:dyDescent="0.3">
      <c r="A21" s="8" t="s">
        <v>69</v>
      </c>
      <c r="B21" s="8" t="s">
        <v>70</v>
      </c>
      <c r="C21" s="12" t="s">
        <v>88</v>
      </c>
    </row>
    <row r="22" spans="1:3" ht="24" customHeight="1" x14ac:dyDescent="0.3">
      <c r="A22" s="8" t="s">
        <v>71</v>
      </c>
      <c r="B22" s="8" t="s">
        <v>72</v>
      </c>
      <c r="C22" s="12" t="s">
        <v>89</v>
      </c>
    </row>
    <row r="23" spans="1:3" ht="24" customHeight="1" x14ac:dyDescent="0.3">
      <c r="A23" s="8" t="s">
        <v>73</v>
      </c>
      <c r="B23" s="8" t="s">
        <v>74</v>
      </c>
      <c r="C23" s="12" t="s">
        <v>90</v>
      </c>
    </row>
    <row r="24" spans="1:3" ht="24" customHeight="1" x14ac:dyDescent="0.3">
      <c r="A24" s="8" t="s">
        <v>75</v>
      </c>
      <c r="B24" s="8" t="s">
        <v>76</v>
      </c>
      <c r="C24" s="12" t="s">
        <v>91</v>
      </c>
    </row>
    <row r="25" spans="1:3" ht="24" customHeight="1" x14ac:dyDescent="0.3">
      <c r="A25" s="8" t="s">
        <v>77</v>
      </c>
      <c r="B25" s="8" t="s">
        <v>78</v>
      </c>
      <c r="C25" s="12" t="s">
        <v>92</v>
      </c>
    </row>
    <row r="26" spans="1:3" ht="24" customHeight="1" x14ac:dyDescent="0.3">
      <c r="A26" s="9" t="s">
        <v>79</v>
      </c>
      <c r="B26" s="10" t="s">
        <v>80</v>
      </c>
      <c r="C26" s="12" t="s">
        <v>93</v>
      </c>
    </row>
    <row r="27" spans="1:3" ht="24" customHeight="1" x14ac:dyDescent="0.3">
      <c r="A27" s="9" t="s">
        <v>81</v>
      </c>
      <c r="B27" s="7" t="s">
        <v>82</v>
      </c>
      <c r="C27" s="12" t="s">
        <v>94</v>
      </c>
    </row>
    <row r="28" spans="1:3" ht="24" customHeight="1" x14ac:dyDescent="0.3">
      <c r="A28" s="9" t="s">
        <v>27</v>
      </c>
      <c r="B28" s="9" t="s">
        <v>83</v>
      </c>
      <c r="C28" s="12" t="s">
        <v>15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Program</vt:lpstr>
      <vt:lpstr>Coding</vt:lpstr>
      <vt:lpstr>OpCode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Kamel Chenaoua</dc:creator>
  <cp:lastModifiedBy>AHMED SAMI MALAEKH</cp:lastModifiedBy>
  <dcterms:created xsi:type="dcterms:W3CDTF">2025-04-25T13:51:28Z</dcterms:created>
  <dcterms:modified xsi:type="dcterms:W3CDTF">2025-04-28T11:58:24Z</dcterms:modified>
</cp:coreProperties>
</file>